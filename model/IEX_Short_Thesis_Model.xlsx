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Scenario Model" sheetId="3" state="visible" r:id="rId5"/>
    <sheet name="Downside Bridge" sheetId="4" state="visible" r:id="rId6"/>
    <sheet name="Sensitivity" sheetId="5" state="visible" r:id="rId7"/>
    <sheet name="Catalyst Timeline" sheetId="6" state="visible" r:id="rId8"/>
    <sheet name="Comp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<sst xmlns="http://schemas.openxmlformats.org/spreadsheetml/2006/main" count="159" uniqueCount="152">
  <si>
    <t xml:space="preserve">INDIAN ENERGY EXCHANGE (NSE: IEX)</t>
  </si>
  <si>
    <t xml:space="preserve">Short Thesis: Market Coupling and the End of the Liquidity Moat</t>
  </si>
  <si>
    <t xml:space="preserve">THE PITCH IN THREE SENTENCES</t>
  </si>
  <si>
    <t xml:space="preserve">CERC's market coupling mandate will centralise electricity price discovery across all power exchanges, and the direction of that policy is no longer in question, only its timing. IEX's 85-90% Day-Ahead Market share is a function of liquidity, which coupling makes irrelevant, so its premium pricing power should compress even if a residual customer relationship survives. At INR 120, the market is pricing in something close to the bull case (moat mostly intact); this model argues the base case (partial share and fee erosion) is more likely and implies roughly 45-50% downside, with a further, less likely bear case implying over 70% downside.</t>
  </si>
  <si>
    <t xml:space="preserve">Recommendation</t>
  </si>
  <si>
    <t xml:space="preserve">SHORT / SELL (illustrative, educational exercise -- not investment advice)</t>
  </si>
  <si>
    <t xml:space="preserve">Catalyst</t>
  </si>
  <si>
    <t xml:space="preserve">Supreme Court ruling on IEX's challenge to market coupling; CERC's final notification following the Grid India technical review. Both outstanding as of Sept 2026, no confirmed date.</t>
  </si>
  <si>
    <t xml:space="preserve">Current price (confirmed live)</t>
  </si>
  <si>
    <t xml:space="preserve">INR 113.90, confirmed 13-Sep-2026 (kotakneo.com live quote). No longer an approximation.</t>
  </si>
  <si>
    <t xml:space="preserve">Base case target</t>
  </si>
  <si>
    <t xml:space="preserve">INR 58 (-49% vs current price)</t>
  </si>
  <si>
    <t xml:space="preserve">Bear case target</t>
  </si>
  <si>
    <t xml:space="preserve">INR 31 (-73% vs current price)</t>
  </si>
  <si>
    <t xml:space="preserve">Bull case target (the risk to being short)</t>
  </si>
  <si>
    <t xml:space="preserve">INR 147 (+29% vs current price): if API-based customer lock-in fully offsets uniform pricing</t>
  </si>
  <si>
    <t xml:space="preserve">Sources</t>
  </si>
  <si>
    <t xml:space="preserve">Public news coverage of the CERC market coupling proceeding, IEX's own investor disclosures (Screener.in, exchange filings), and analyst commentary reported in the financial press. No non-public information of any kind was used.</t>
  </si>
  <si>
    <t xml:space="preserve">Disclaimer</t>
  </si>
  <si>
    <t xml:space="preserve">Educational exercise built for interview preparation. Not investment research, not a recommendation to buy or sell any security, and not based on any professional research mandate.</t>
  </si>
  <si>
    <t xml:space="preserve">CURRENT STATE AND SCENARIO ASSUMPTIONS</t>
  </si>
  <si>
    <t xml:space="preserve">Every yellow cell is an input you own and must justify before presenting this model.</t>
  </si>
  <si>
    <t xml:space="preserve">CURRENT STATE (approx, Sept 2026 -- verify against a live quote)</t>
  </si>
  <si>
    <t xml:space="preserve">Current share price (INR)</t>
  </si>
  <si>
    <t xml:space="preserve">CONFIRMED 13-Sep-2026: kotakneo.com live quote, Rs 113.90 (day range Rs 113.00-115.91). This IS the live price on the memo date.</t>
  </si>
  <si>
    <t xml:space="preserve">Market capitalisation (INR Cr)</t>
  </si>
  <si>
    <t xml:space="preserve">CONFIRMED 13-Sep-2026: indmoney.com, Rs 10,517.52 Cr (as of 10-Sep-2026 intraday).</t>
  </si>
  <si>
    <t xml:space="preserve">Implied diluted shares (Cr)</t>
  </si>
  <si>
    <t xml:space="preserve">NOTE: back-derived from two different vendor snapshots taken at slightly different times; will not perfectly match IEX's own reported diluted share count in its filings.</t>
  </si>
  <si>
    <t xml:space="preserve">TTM revenue (INR Cr)</t>
  </si>
  <si>
    <t xml:space="preserve">Screener.in, TTM as of approx Sept 2026.</t>
  </si>
  <si>
    <t xml:space="preserve">TTM net profit (INR Cr)</t>
  </si>
  <si>
    <t xml:space="preserve">TTM PAT margin</t>
  </si>
  <si>
    <t xml:space="preserve">TTM EPS (INR)</t>
  </si>
  <si>
    <t xml:space="preserve">Implied current P/E</t>
  </si>
  <si>
    <t xml:space="preserve">IEX's own FY26 traded volume (billion units, BU)</t>
  </si>
  <si>
    <t xml:space="preserve">Derived from FY25's reported 121 BU and ~19-20% YoY volume growth seen in recent monthly prints.</t>
  </si>
  <si>
    <t xml:space="preserve">IEX's current share of total exchange-traded market</t>
  </si>
  <si>
    <t xml:space="preserve">Widely reported 85-90% Day-Ahead Market share; midpoint used.</t>
  </si>
  <si>
    <t xml:space="preserve">Implied total exchange-traded market, FY26 (BU)</t>
  </si>
  <si>
    <t xml:space="preserve">IEX's current take rate (INR Cr revenue per BU traded)</t>
  </si>
  <si>
    <t xml:space="preserve">This is IEX's own blended fee per unit of electricity traded on its platform.</t>
  </si>
  <si>
    <t xml:space="preserve">FORWARD MARKET ASSUMPTION</t>
  </si>
  <si>
    <t xml:space="preserve">Total exchange-traded market CAGR (2-year forward)</t>
  </si>
  <si>
    <t xml:space="preserve">Underlying secular growth: rising renewable capacity, gradual shift from long-term PPAs to short-term exchange trading. This is a growing-pie assumption independent of who captures share.</t>
  </si>
  <si>
    <t xml:space="preserve">Forward horizon (years)</t>
  </si>
  <si>
    <t xml:space="preserve">To FY28, matching the timeframe most analyst share-loss estimates use.</t>
  </si>
  <si>
    <t xml:space="preserve">Implied total exchange-traded market, FY28E (BU)</t>
  </si>
  <si>
    <t xml:space="preserve">SCENARIO DEFINITIONS (FY28E)</t>
  </si>
  <si>
    <t xml:space="preserve">Scenario</t>
  </si>
  <si>
    <t xml:space="preserve">BULL</t>
  </si>
  <si>
    <t xml:space="preserve">BASE</t>
  </si>
  <si>
    <t xml:space="preserve">BEAR</t>
  </si>
  <si>
    <t xml:space="preserve">FY28E market share</t>
  </si>
  <si>
    <t xml:space="preserve">BULL: API-based 'tight coupling' with 70%+ of members preserves most switching friction. BASE: meaningful but partial erosion. BEAR: matches published analyst projections of ~50% by FY28.</t>
  </si>
  <si>
    <t xml:space="preserve">Take rate change vs today</t>
  </si>
  <si>
    <t xml:space="preserve">How much IEX's blended fee per unit compresses as uniform pricing removes its differentiation.</t>
  </si>
  <si>
    <t xml:space="preserve">FY28E PAT margin</t>
  </si>
  <si>
    <t xml:space="preserve">High fixed-cost, asset-light exchange economics mean margin holds best when share/pricing hold; competitive response (marketing, fee wars) compresses margin further in weaker scenarios.</t>
  </si>
  <si>
    <t xml:space="preserve">Exit P/E multiple</t>
  </si>
  <si>
    <t xml:space="preserve">BULL: re-rates as a proven monopoly. BASE: 'show me' multiple, still uncertain. BEAR: structurally impaired, low-growth multiple.</t>
  </si>
  <si>
    <t xml:space="preserve">SCENARIO MODEL -- FY28E</t>
  </si>
  <si>
    <t xml:space="preserve">Each column is fully independent and formula-driven off the Assumptions tab.</t>
  </si>
  <si>
    <t xml:space="preserve">FY28E total market volume (BU)</t>
  </si>
  <si>
    <t xml:space="preserve">x IEX market share</t>
  </si>
  <si>
    <t xml:space="preserve">IEX FY28E traded volume (BU)</t>
  </si>
  <si>
    <t xml:space="preserve">Current take rate (INR Cr / BU)</t>
  </si>
  <si>
    <t xml:space="preserve">x (1 + take rate change)</t>
  </si>
  <si>
    <t xml:space="preserve">FY28E take rate (INR Cr / BU)</t>
  </si>
  <si>
    <t xml:space="preserve">FY28E revenue (INR Cr)</t>
  </si>
  <si>
    <t xml:space="preserve">x PAT margin</t>
  </si>
  <si>
    <t xml:space="preserve">FY28E net profit (INR Cr)</t>
  </si>
  <si>
    <t xml:space="preserve">Diluted shares (Cr)</t>
  </si>
  <si>
    <t xml:space="preserve">FY28E EPS (INR)</t>
  </si>
  <si>
    <t xml:space="preserve">x Exit P/E multiple</t>
  </si>
  <si>
    <t xml:space="preserve">FY28E TARGET PRICE (INR)</t>
  </si>
  <si>
    <t xml:space="preserve">Current price (INR)</t>
  </si>
  <si>
    <t xml:space="preserve">IMPLIED RETURN</t>
  </si>
  <si>
    <t xml:space="preserve">DOWNSIDE BRIDGE: WHERE THE RETURN COMES FROM</t>
  </si>
  <si>
    <t xml:space="preserve">Decomposes the BASE and BEAR case returns into the EPS-decline effect and the multiple-compression effect, holding the other constant -- same technique as the LBO returns bridge in the companion Havells repo, applied here to a short thesis.</t>
  </si>
  <si>
    <t xml:space="preserve">Current EPS (INR)</t>
  </si>
  <si>
    <t xml:space="preserve">Scenario EPS (INR)</t>
  </si>
  <si>
    <t xml:space="preserve">Current P/E (as implied today)</t>
  </si>
  <si>
    <t xml:space="preserve">Price if EPS falls, multiple UNCHANGED (INR)</t>
  </si>
  <si>
    <t xml:space="preserve">  return from EPS decline alone</t>
  </si>
  <si>
    <t xml:space="preserve">Scenario exit multiple</t>
  </si>
  <si>
    <t xml:space="preserve">Price if multiple ALSO compresses (INR) = full target</t>
  </si>
  <si>
    <t xml:space="preserve">  additional return from multiple compression</t>
  </si>
  <si>
    <t xml:space="preserve">TOTAL IMPLIED RETURN (check vs Scenario Model tab)</t>
  </si>
  <si>
    <t xml:space="preserve">READING THIS</t>
  </si>
  <si>
    <t xml:space="preserve">In both scenarios, most of the downside comes from the EPS decline itself (IEX simply earning less), not from the market additionally punishing the stock with a lower multiple. That matters for the pitch: you do not need to argue the market will panic and de-rate the stock unfairly. You only need the earnings decline to happen, and the price follows mechanically even at an unchanged multiple. The multiple compression is upside to the thesis, not the load-bearing assumption.</t>
  </si>
  <si>
    <t xml:space="preserve">SENSITIVITY: MARKET SHARE x TAKE-RATE COMPRESSION</t>
  </si>
  <si>
    <t xml:space="preserve">Implied target price (INR) at a fixed 18x exit multiple (the BASE case multiple), so the grid isolates the operating assumptions from the re-rating assumption.</t>
  </si>
  <si>
    <t xml:space="preserve">Share \ Take-rate chg</t>
  </si>
  <si>
    <t xml:space="preserve">0%</t>
  </si>
  <si>
    <t xml:space="preserve">-10%</t>
  </si>
  <si>
    <t xml:space="preserve">-20%</t>
  </si>
  <si>
    <t xml:space="preserve">-25%</t>
  </si>
  <si>
    <t xml:space="preserve">-30%</t>
  </si>
  <si>
    <t xml:space="preserve">-40%</t>
  </si>
  <si>
    <t xml:space="preserve">85%</t>
  </si>
  <si>
    <t xml:space="preserve">75%</t>
  </si>
  <si>
    <t xml:space="preserve">65%</t>
  </si>
  <si>
    <t xml:space="preserve">57%</t>
  </si>
  <si>
    <t xml:space="preserve">50%</t>
  </si>
  <si>
    <t xml:space="preserve">40%</t>
  </si>
  <si>
    <t xml:space="preserve">Current price for reference (INR)</t>
  </si>
  <si>
    <t xml:space="preserve">NOTE</t>
  </si>
  <si>
    <t xml:space="preserve">PAT margin held fixed at 72% (the BASE case) throughout this grid so it isolates only share and take-rate, the two variables the market coupling debate is actually about. Every cell below the current price row is a scenario in which the short thesis is right.</t>
  </si>
  <si>
    <t xml:space="preserve">CATALYST TIMELINE</t>
  </si>
  <si>
    <t xml:space="preserve">Dated or approximately-dated events that could force a re-rating in either direction. None of these dates are confirmed by IEX or CERC as of the build date -- verify each before citing it.</t>
  </si>
  <si>
    <t xml:space="preserve">Date / Status</t>
  </si>
  <si>
    <t xml:space="preserve">Event</t>
  </si>
  <si>
    <t xml:space="preserve">Why it matters</t>
  </si>
  <si>
    <t xml:space="preserve">Jul 2025</t>
  </si>
  <si>
    <t xml:space="preserve">CERC's original market coupling order</t>
  </si>
  <si>
    <t xml:space="preserve">The regulatory direction was set here; the stock fell ~30% in a single session.</t>
  </si>
  <si>
    <t xml:space="preserve">Feb 2026</t>
  </si>
  <si>
    <t xml:space="preserve">APTEL (appellate tribunal) dismisses IEX's initial legal challenge</t>
  </si>
  <si>
    <t xml:space="preserve">First sign the legal path favours implementation, not IEX.</t>
  </si>
  <si>
    <t xml:space="preserve">Apr 2026</t>
  </si>
  <si>
    <t xml:space="preserve">CERC issues draft Second Amendment Regulations; Grid India raises its own technical objections</t>
  </si>
  <si>
    <t xml:space="preserve">A regulator's own implementation partner questioning execution readiness is a stronger delay signal than IEX's objections alone.</t>
  </si>
  <si>
    <t xml:space="preserve">Ongoing, 2026</t>
  </si>
  <si>
    <t xml:space="preserve">Supreme Court agrees to examine IEX's plea</t>
  </si>
  <si>
    <t xml:space="preserve">The highest possible legal escalation; a ruling either way is the clearest re-rating catalyst on the table.</t>
  </si>
  <si>
    <t xml:space="preserve">Quarterly</t>
  </si>
  <si>
    <t xml:space="preserve">IEX volume and revenue prints</t>
  </si>
  <si>
    <t xml:space="preserve">Watch for early signs of share loss or fee pressure showing up in the numbers ahead of coupling's actual launch.</t>
  </si>
  <si>
    <t xml:space="preserve">Unconfirmed</t>
  </si>
  <si>
    <t xml:space="preserve">Final CERC notification and Power Market Coupling Procedure (PMCP) publication by Grid India</t>
  </si>
  <si>
    <t xml:space="preserve">The actual implementation date; every delay here is a reason the BULL case can persist longer than the BEAR case assumes.</t>
  </si>
  <si>
    <t xml:space="preserve">COMPARABLE COMPANY CHECK: WHAT MOAT-INTACT INDIAN MARKET INFRASTRUCTURE TRADES AT</t>
  </si>
  <si>
    <t xml:space="preserve">Sourced 13-Sep-2026. These are the businesses IEX most resembles structurally (near-monopoly, asset-light, high-margin market infrastructure) BEFORE the market coupling threat. Used to sanity-check, not set, the exit multiples on the Scenario Model tab.</t>
  </si>
  <si>
    <t xml:space="preserve">Company</t>
  </si>
  <si>
    <t xml:space="preserve">Business</t>
  </si>
  <si>
    <t xml:space="preserve">P/E</t>
  </si>
  <si>
    <t xml:space="preserve">Source, 13-Sep-2026</t>
  </si>
  <si>
    <t xml:space="preserve">MCX (Multi Commodity Exchange)</t>
  </si>
  <si>
    <t xml:space="preserve">India's dominant commodity derivatives exchange, near-monopoly</t>
  </si>
  <si>
    <t xml:space="preserve">valueresearchonline.com, 29-May-2026 (P/E 56.60x, peer median 60.51x)</t>
  </si>
  <si>
    <t xml:space="preserve">CDSL (Central Depository Services)</t>
  </si>
  <si>
    <t xml:space="preserve">Depository duopoly, 120M+ demat accounts, recurring AMC/fee income</t>
  </si>
  <si>
    <t xml:space="preserve">Derived: Screener.in market cap Rs 28,424 Cr / TTM profit Rs 470 Cr</t>
  </si>
  <si>
    <t xml:space="preserve">CAMS (Computer Age Management Services)</t>
  </si>
  <si>
    <t xml:space="preserve">Mutual fund registrar/transfer agent, dominant market share</t>
  </si>
  <si>
    <t xml:space="preserve">dhan.co live quote, 11-Sep-2026</t>
  </si>
  <si>
    <t xml:space="preserve">Peer median P/E (moat-intact market infrastructure)</t>
  </si>
  <si>
    <t xml:space="preserve">IEX current TTM P/E (at today's price, reflecting the regulatory discount)</t>
  </si>
  <si>
    <t xml:space="preserve">Implied discount to peers already priced in</t>
  </si>
  <si>
    <t xml:space="preserve">READING THIS AGAINST THE SCENARIO MODEL'S EXIT MULTIPLES</t>
  </si>
  <si>
    <t xml:space="preserve">IEX already trades at a large discount to peers with an intact moat, which is exactly what the market coupling threat would predict. This is a genuine cross-check on the three exit multiples used on the Scenario Model tab, not just an assertion: the BULL case (28x) sits well BELOW the peer median above, meaning that even in the scenario where IEX's moat mostly survives, the model does not assume IEX re-rates all the way back to where MCX or CDSL trade, a conservative choice, if anything. The BASE (18x) and BEAR (14x) cases sit further below still, consistent with a business that has lost the structural characteristic (near-monopoly liquidity) that lets these peers command 36-60x. If a bull case wanted to argue IEX fully re-rates to the peer median once coupling is defeated or delayed indefinitely, that would imply a target price meaningfully ABOVE this model's own bull case: worth stating explicitly as the true upside risk to being short, rather than treating 28x as the ceiling.</t>
  </si>
</sst>
</file>

<file path=xl/styles.xml><?xml version="1.0" encoding="utf-8"?>
<styleSheet xmlns="http://schemas.openxmlformats.org/spreadsheetml/2006/main">
  <numFmts count="6">
    <numFmt numFmtId="164" formatCode="General"/>
    <numFmt numFmtId="165" formatCode="#,##0.00"/>
    <numFmt numFmtId="166" formatCode="#,##0;\(#,##0\);\-"/>
    <numFmt numFmtId="167" formatCode="0.0%"/>
    <numFmt numFmtId="168" formatCode="0.0\x"/>
    <numFmt numFmtId="169" formatCode="0.000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595959"/>
      <name val="Arial"/>
      <family val="0"/>
      <charset val="1"/>
    </font>
    <font>
      <sz val="10"/>
      <color rgb="FF000000"/>
      <name val="Arial"/>
      <family val="0"/>
      <charset val="1"/>
    </font>
    <font>
      <b val="true"/>
      <sz val="10"/>
      <name val="Arial"/>
      <family val="0"/>
      <charset val="1"/>
    </font>
    <font>
      <sz val="10"/>
      <color rgb="FF0000FF"/>
      <name val="Arial"/>
      <family val="0"/>
      <charset val="1"/>
    </font>
    <font>
      <sz val="11"/>
      <name val="Cambria"/>
      <family val="0"/>
      <charset val="1"/>
    </font>
    <font>
      <b val="true"/>
      <sz val="10"/>
      <color rgb="FFFFFFFF"/>
      <name val="Arial"/>
      <family val="0"/>
      <charset val="1"/>
    </font>
    <font>
      <sz val="10"/>
      <color rgb="FF00800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F00"/>
        <bgColor rgb="FFFFFF00"/>
      </patternFill>
    </fill>
    <fill>
      <patternFill patternType="solid">
        <fgColor rgb="FF1F3864"/>
        <bgColor rgb="FF333333"/>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1"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4"/>
  </cols>
  <sheetData>
    <row r="1" customFormat="false" ht="16.15" hidden="false" customHeight="false" outlineLevel="0" collapsed="false">
      <c r="A1" s="1" t="s">
        <v>0</v>
      </c>
    </row>
    <row r="2" customFormat="false" ht="15" hidden="false" customHeight="false" outlineLevel="0" collapsed="false">
      <c r="A2" s="2" t="s">
        <v>1</v>
      </c>
    </row>
    <row r="4" customFormat="false" ht="16.15" hidden="false" customHeight="false" outlineLevel="0" collapsed="false">
      <c r="A4" s="1" t="s">
        <v>2</v>
      </c>
    </row>
    <row r="5" customFormat="false" ht="90" hidden="false" customHeight="true" outlineLevel="0" collapsed="false">
      <c r="A5" s="3" t="s">
        <v>3</v>
      </c>
      <c r="B5" s="3"/>
    </row>
    <row r="13" customFormat="false" ht="18" hidden="false" customHeight="true" outlineLevel="0" collapsed="false">
      <c r="A13" s="4" t="s">
        <v>4</v>
      </c>
      <c r="B13" s="5" t="s">
        <v>5</v>
      </c>
    </row>
    <row r="15" customFormat="false" ht="43.5" hidden="false" customHeight="true" outlineLevel="0" collapsed="false">
      <c r="A15" s="4" t="s">
        <v>6</v>
      </c>
      <c r="B15" s="5" t="s">
        <v>7</v>
      </c>
    </row>
    <row r="17" customFormat="false" ht="18" hidden="false" customHeight="true" outlineLevel="0" collapsed="false">
      <c r="A17" s="4" t="s">
        <v>8</v>
      </c>
      <c r="B17" s="5" t="s">
        <v>9</v>
      </c>
    </row>
    <row r="19" customFormat="false" ht="18" hidden="false" customHeight="true" outlineLevel="0" collapsed="false">
      <c r="A19" s="4" t="s">
        <v>10</v>
      </c>
      <c r="B19" s="5" t="s">
        <v>11</v>
      </c>
    </row>
    <row r="21" customFormat="false" ht="18" hidden="false" customHeight="true" outlineLevel="0" collapsed="false">
      <c r="A21" s="4" t="s">
        <v>12</v>
      </c>
      <c r="B21" s="5" t="s">
        <v>13</v>
      </c>
    </row>
    <row r="23" customFormat="false" ht="43.5" hidden="false" customHeight="true" outlineLevel="0" collapsed="false">
      <c r="A23" s="4" t="s">
        <v>14</v>
      </c>
      <c r="B23" s="5" t="s">
        <v>15</v>
      </c>
    </row>
    <row r="25" customFormat="false" ht="43.5" hidden="false" customHeight="true" outlineLevel="0" collapsed="false">
      <c r="A25" s="4" t="s">
        <v>16</v>
      </c>
      <c r="B25" s="5" t="s">
        <v>17</v>
      </c>
    </row>
    <row r="27" customFormat="false" ht="43.5" hidden="false" customHeight="true" outlineLevel="0" collapsed="false">
      <c r="A27" s="4" t="s">
        <v>18</v>
      </c>
      <c r="B27" s="5" t="s">
        <v>19</v>
      </c>
    </row>
  </sheetData>
  <mergeCells count="1">
    <mergeCell ref="A5:B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4"/>
    <col collapsed="false" customWidth="true" hidden="false" outlineLevel="0" max="4" min="4" style="0" width="66"/>
    <col collapsed="false" customWidth="true" hidden="false" outlineLevel="0" max="5" min="5" style="0" width="14"/>
    <col collapsed="false" customWidth="true" hidden="false" outlineLevel="0" max="6" min="6" style="0" width="60"/>
    <col collapsed="false" customWidth="true" hidden="false" outlineLevel="0" max="7" min="7" style="0" width="14"/>
  </cols>
  <sheetData>
    <row r="1" customFormat="false" ht="16.15" hidden="false" customHeight="false" outlineLevel="0" collapsed="false">
      <c r="A1" s="1" t="s">
        <v>20</v>
      </c>
    </row>
    <row r="2" customFormat="false" ht="15" hidden="false" customHeight="false" outlineLevel="0" collapsed="false">
      <c r="A2" s="2" t="s">
        <v>21</v>
      </c>
    </row>
    <row r="4" customFormat="false" ht="15" hidden="false" customHeight="false" outlineLevel="0" collapsed="false">
      <c r="A4" s="6" t="s">
        <v>22</v>
      </c>
    </row>
    <row r="5" customFormat="false" ht="30" hidden="false" customHeight="true" outlineLevel="0" collapsed="false">
      <c r="A5" s="7" t="s">
        <v>23</v>
      </c>
      <c r="B5" s="8" t="n">
        <v>113.9</v>
      </c>
      <c r="D5" s="9" t="s">
        <v>24</v>
      </c>
    </row>
    <row r="6" customFormat="false" ht="30" hidden="false" customHeight="true" outlineLevel="0" collapsed="false">
      <c r="A6" s="7" t="s">
        <v>25</v>
      </c>
      <c r="B6" s="10" t="n">
        <v>10517.52</v>
      </c>
      <c r="D6" s="9" t="s">
        <v>26</v>
      </c>
    </row>
    <row r="7" customFormat="false" ht="43.5" hidden="false" customHeight="true" outlineLevel="0" collapsed="false">
      <c r="A7" s="7" t="s">
        <v>27</v>
      </c>
      <c r="B7" s="11" t="n">
        <f aca="false">B6/B5</f>
        <v>92.3399473222125</v>
      </c>
      <c r="D7" s="9" t="s">
        <v>28</v>
      </c>
    </row>
    <row r="8" customFormat="false" ht="15.75" hidden="false" customHeight="true" outlineLevel="0" collapsed="false">
      <c r="A8" s="7" t="s">
        <v>29</v>
      </c>
      <c r="B8" s="10" t="n">
        <v>624</v>
      </c>
      <c r="D8" s="9" t="s">
        <v>30</v>
      </c>
    </row>
    <row r="9" customFormat="false" ht="15.75" hidden="false" customHeight="true" outlineLevel="0" collapsed="false">
      <c r="A9" s="7" t="s">
        <v>31</v>
      </c>
      <c r="B9" s="10" t="n">
        <v>487</v>
      </c>
      <c r="D9" s="9" t="s">
        <v>30</v>
      </c>
    </row>
    <row r="10" customFormat="false" ht="15" hidden="false" customHeight="false" outlineLevel="0" collapsed="false">
      <c r="A10" s="7" t="s">
        <v>32</v>
      </c>
      <c r="B10" s="12" t="n">
        <f aca="false">B9/B8</f>
        <v>0.780448717948718</v>
      </c>
    </row>
    <row r="11" customFormat="false" ht="15" hidden="false" customHeight="false" outlineLevel="0" collapsed="false">
      <c r="A11" s="7" t="s">
        <v>33</v>
      </c>
      <c r="B11" s="13" t="n">
        <f aca="false">B9/B7</f>
        <v>5.27399044641703</v>
      </c>
    </row>
    <row r="12" customFormat="false" ht="15" hidden="false" customHeight="false" outlineLevel="0" collapsed="false">
      <c r="A12" s="7" t="s">
        <v>34</v>
      </c>
      <c r="B12" s="14" t="n">
        <f aca="false">B5/B11</f>
        <v>21.5965503080082</v>
      </c>
    </row>
    <row r="13" customFormat="false" ht="30" hidden="false" customHeight="true" outlineLevel="0" collapsed="false">
      <c r="A13" s="7" t="s">
        <v>35</v>
      </c>
      <c r="B13" s="10" t="n">
        <v>145</v>
      </c>
      <c r="D13" s="9" t="s">
        <v>36</v>
      </c>
    </row>
    <row r="14" customFormat="false" ht="15.75" hidden="false" customHeight="true" outlineLevel="0" collapsed="false">
      <c r="A14" s="7" t="s">
        <v>37</v>
      </c>
      <c r="B14" s="15" t="n">
        <v>0.87</v>
      </c>
      <c r="D14" s="9" t="s">
        <v>38</v>
      </c>
    </row>
    <row r="15" customFormat="false" ht="15" hidden="false" customHeight="false" outlineLevel="0" collapsed="false">
      <c r="A15" s="7" t="s">
        <v>39</v>
      </c>
      <c r="B15" s="11" t="n">
        <f aca="false">B13/B14</f>
        <v>166.666666666667</v>
      </c>
    </row>
    <row r="16" customFormat="false" ht="30" hidden="false" customHeight="true" outlineLevel="0" collapsed="false">
      <c r="A16" s="7" t="s">
        <v>40</v>
      </c>
      <c r="B16" s="16" t="n">
        <f aca="false">B8/B13</f>
        <v>4.30344827586207</v>
      </c>
      <c r="D16" s="9" t="s">
        <v>41</v>
      </c>
    </row>
    <row r="18" customFormat="false" ht="15" hidden="false" customHeight="false" outlineLevel="0" collapsed="false">
      <c r="A18" s="6" t="s">
        <v>42</v>
      </c>
    </row>
    <row r="19" customFormat="false" ht="43.5" hidden="false" customHeight="true" outlineLevel="0" collapsed="false">
      <c r="A19" s="7" t="s">
        <v>43</v>
      </c>
      <c r="B19" s="15" t="n">
        <v>0.16</v>
      </c>
      <c r="D19" s="9" t="s">
        <v>44</v>
      </c>
    </row>
    <row r="20" customFormat="false" ht="15.75" hidden="false" customHeight="true" outlineLevel="0" collapsed="false">
      <c r="A20" s="7" t="s">
        <v>45</v>
      </c>
      <c r="B20" s="10" t="n">
        <v>2</v>
      </c>
      <c r="D20" s="9" t="s">
        <v>46</v>
      </c>
    </row>
    <row r="21" customFormat="false" ht="15" hidden="false" customHeight="false" outlineLevel="0" collapsed="false">
      <c r="A21" s="7" t="s">
        <v>47</v>
      </c>
      <c r="B21" s="11" t="n">
        <f aca="false">B15*(1+B19)^B20</f>
        <v>224.266666666667</v>
      </c>
    </row>
    <row r="23" customFormat="false" ht="15" hidden="false" customHeight="false" outlineLevel="0" collapsed="false">
      <c r="A23" s="6" t="s">
        <v>48</v>
      </c>
    </row>
    <row r="24" customFormat="false" ht="15" hidden="false" customHeight="false" outlineLevel="0" collapsed="false">
      <c r="A24" s="17"/>
    </row>
    <row r="25" customFormat="false" ht="15" hidden="false" customHeight="false" outlineLevel="0" collapsed="false">
      <c r="A25" s="18" t="s">
        <v>49</v>
      </c>
      <c r="B25" s="19" t="s">
        <v>50</v>
      </c>
      <c r="C25" s="19" t="s">
        <v>51</v>
      </c>
      <c r="D25" s="19" t="s">
        <v>52</v>
      </c>
    </row>
    <row r="26" customFormat="false" ht="49.5" hidden="false" customHeight="true" outlineLevel="0" collapsed="false">
      <c r="A26" s="7" t="s">
        <v>53</v>
      </c>
      <c r="B26" s="15" t="n">
        <v>0.7</v>
      </c>
      <c r="C26" s="15" t="n">
        <v>0.57</v>
      </c>
      <c r="D26" s="15" t="n">
        <v>0.5</v>
      </c>
      <c r="F26" s="9" t="s">
        <v>54</v>
      </c>
    </row>
    <row r="27" customFormat="false" ht="49.5" hidden="false" customHeight="true" outlineLevel="0" collapsed="false">
      <c r="A27" s="7" t="s">
        <v>55</v>
      </c>
      <c r="B27" s="15" t="n">
        <v>-0.08</v>
      </c>
      <c r="C27" s="15" t="n">
        <v>-0.25</v>
      </c>
      <c r="D27" s="15" t="n">
        <v>-0.35</v>
      </c>
      <c r="F27" s="9" t="s">
        <v>56</v>
      </c>
    </row>
    <row r="28" customFormat="false" ht="49.5" hidden="false" customHeight="true" outlineLevel="0" collapsed="false">
      <c r="A28" s="7" t="s">
        <v>57</v>
      </c>
      <c r="B28" s="15" t="n">
        <v>0.78</v>
      </c>
      <c r="C28" s="15" t="n">
        <v>0.72</v>
      </c>
      <c r="D28" s="15" t="n">
        <v>0.65</v>
      </c>
      <c r="F28" s="9" t="s">
        <v>58</v>
      </c>
    </row>
    <row r="29" customFormat="false" ht="49.5" hidden="false" customHeight="true" outlineLevel="0" collapsed="false">
      <c r="A29" s="7" t="s">
        <v>59</v>
      </c>
      <c r="B29" s="20" t="n">
        <v>28</v>
      </c>
      <c r="C29" s="20" t="n">
        <v>18</v>
      </c>
      <c r="D29" s="20" t="n">
        <v>14</v>
      </c>
      <c r="F29" s="9"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4"/>
  </cols>
  <sheetData>
    <row r="1" customFormat="false" ht="16.15" hidden="false" customHeight="false" outlineLevel="0" collapsed="false">
      <c r="A1" s="1" t="s">
        <v>61</v>
      </c>
    </row>
    <row r="2" customFormat="false" ht="15" hidden="false" customHeight="false" outlineLevel="0" collapsed="false">
      <c r="A2" s="2" t="s">
        <v>62</v>
      </c>
    </row>
    <row r="4" customFormat="false" ht="15" hidden="false" customHeight="false" outlineLevel="0" collapsed="false">
      <c r="A4" s="18" t="s">
        <v>49</v>
      </c>
      <c r="B4" s="19" t="s">
        <v>50</v>
      </c>
      <c r="C4" s="19" t="s">
        <v>51</v>
      </c>
      <c r="D4" s="19" t="s">
        <v>52</v>
      </c>
    </row>
    <row r="5" customFormat="false" ht="15" hidden="false" customHeight="false" outlineLevel="0" collapsed="false">
      <c r="A5" s="21" t="s">
        <v>63</v>
      </c>
      <c r="B5" s="22" t="n">
        <f aca="false">Assumptions!$B$21</f>
        <v>224.266666666667</v>
      </c>
      <c r="C5" s="22" t="n">
        <f aca="false">Assumptions!$B$21</f>
        <v>224.266666666667</v>
      </c>
      <c r="D5" s="22" t="n">
        <f aca="false">Assumptions!$B$21</f>
        <v>224.266666666667</v>
      </c>
    </row>
    <row r="6" customFormat="false" ht="15" hidden="false" customHeight="false" outlineLevel="0" collapsed="false">
      <c r="A6" s="21" t="s">
        <v>64</v>
      </c>
      <c r="B6" s="22" t="n">
        <f aca="false">Assumptions!B$26</f>
        <v>0.7</v>
      </c>
      <c r="C6" s="22" t="n">
        <f aca="false">Assumptions!C$26</f>
        <v>0.57</v>
      </c>
      <c r="D6" s="22" t="n">
        <f aca="false">Assumptions!D$26</f>
        <v>0.5</v>
      </c>
    </row>
    <row r="7" customFormat="false" ht="15" hidden="false" customHeight="false" outlineLevel="0" collapsed="false">
      <c r="A7" s="4" t="s">
        <v>65</v>
      </c>
      <c r="B7" s="11" t="n">
        <f aca="false">B5*B6</f>
        <v>156.986666666667</v>
      </c>
      <c r="C7" s="11" t="n">
        <f aca="false">C5*C6</f>
        <v>127.832</v>
      </c>
      <c r="D7" s="11" t="n">
        <f aca="false">D5*D6</f>
        <v>112.133333333333</v>
      </c>
    </row>
    <row r="9" customFormat="false" ht="15" hidden="false" customHeight="false" outlineLevel="0" collapsed="false">
      <c r="A9" s="21" t="s">
        <v>66</v>
      </c>
      <c r="B9" s="23" t="n">
        <f aca="false">Assumptions!$B$16</f>
        <v>4.30344827586207</v>
      </c>
      <c r="C9" s="23" t="n">
        <f aca="false">Assumptions!$B$16</f>
        <v>4.30344827586207</v>
      </c>
      <c r="D9" s="23" t="n">
        <f aca="false">Assumptions!$B$16</f>
        <v>4.30344827586207</v>
      </c>
    </row>
    <row r="10" customFormat="false" ht="15" hidden="false" customHeight="false" outlineLevel="0" collapsed="false">
      <c r="A10" s="21" t="s">
        <v>67</v>
      </c>
      <c r="B10" s="22" t="n">
        <f aca="false">1+Assumptions!B$27</f>
        <v>0.92</v>
      </c>
      <c r="C10" s="22" t="n">
        <f aca="false">1+Assumptions!C$27</f>
        <v>0.75</v>
      </c>
      <c r="D10" s="22" t="n">
        <f aca="false">1+Assumptions!D$27</f>
        <v>0.65</v>
      </c>
    </row>
    <row r="11" customFormat="false" ht="15" hidden="false" customHeight="false" outlineLevel="0" collapsed="false">
      <c r="A11" s="21" t="s">
        <v>68</v>
      </c>
      <c r="B11" s="23" t="n">
        <f aca="false">B9*B10</f>
        <v>3.9591724137931</v>
      </c>
      <c r="C11" s="23" t="n">
        <f aca="false">C9*C10</f>
        <v>3.22758620689655</v>
      </c>
      <c r="D11" s="23" t="n">
        <f aca="false">D9*D10</f>
        <v>2.79724137931034</v>
      </c>
    </row>
    <row r="13" customFormat="false" ht="15" hidden="false" customHeight="false" outlineLevel="0" collapsed="false">
      <c r="A13" s="4" t="s">
        <v>69</v>
      </c>
      <c r="B13" s="11" t="n">
        <f aca="false">B7*B11</f>
        <v>621.53728</v>
      </c>
      <c r="C13" s="11" t="n">
        <f aca="false">C7*C11</f>
        <v>412.5888</v>
      </c>
      <c r="D13" s="11" t="n">
        <f aca="false">D7*D11</f>
        <v>313.664</v>
      </c>
    </row>
    <row r="14" customFormat="false" ht="15" hidden="false" customHeight="false" outlineLevel="0" collapsed="false">
      <c r="A14" s="21" t="s">
        <v>70</v>
      </c>
      <c r="B14" s="22" t="n">
        <f aca="false">Assumptions!B$28</f>
        <v>0.78</v>
      </c>
      <c r="C14" s="22" t="n">
        <f aca="false">Assumptions!C$28</f>
        <v>0.72</v>
      </c>
      <c r="D14" s="22" t="n">
        <f aca="false">Assumptions!D$28</f>
        <v>0.65</v>
      </c>
    </row>
    <row r="15" customFormat="false" ht="15" hidden="false" customHeight="false" outlineLevel="0" collapsed="false">
      <c r="A15" s="4" t="s">
        <v>71</v>
      </c>
      <c r="B15" s="11" t="n">
        <f aca="false">B13*B14</f>
        <v>484.7990784</v>
      </c>
      <c r="C15" s="11" t="n">
        <f aca="false">C13*C14</f>
        <v>297.063936</v>
      </c>
      <c r="D15" s="11" t="n">
        <f aca="false">D13*D14</f>
        <v>203.8816</v>
      </c>
    </row>
    <row r="17" customFormat="false" ht="15" hidden="false" customHeight="false" outlineLevel="0" collapsed="false">
      <c r="A17" s="21" t="s">
        <v>72</v>
      </c>
      <c r="B17" s="22" t="n">
        <f aca="false">Assumptions!$B$7</f>
        <v>92.3399473222125</v>
      </c>
      <c r="C17" s="22" t="n">
        <f aca="false">Assumptions!$B$7</f>
        <v>92.3399473222125</v>
      </c>
      <c r="D17" s="22" t="n">
        <f aca="false">Assumptions!$B$7</f>
        <v>92.3399473222125</v>
      </c>
    </row>
    <row r="18" customFormat="false" ht="15" hidden="false" customHeight="false" outlineLevel="0" collapsed="false">
      <c r="A18" s="4" t="s">
        <v>73</v>
      </c>
      <c r="B18" s="13" t="n">
        <f aca="false">B15/B17</f>
        <v>5.25015545772768</v>
      </c>
      <c r="C18" s="13" t="n">
        <f aca="false">C15/C17</f>
        <v>3.21706850192821</v>
      </c>
      <c r="D18" s="13" t="n">
        <f aca="false">D15/D17</f>
        <v>2.20794581232077</v>
      </c>
    </row>
    <row r="19" customFormat="false" ht="15" hidden="false" customHeight="false" outlineLevel="0" collapsed="false">
      <c r="A19" s="21" t="s">
        <v>74</v>
      </c>
      <c r="B19" s="22" t="n">
        <f aca="false">Assumptions!B$29</f>
        <v>28</v>
      </c>
      <c r="C19" s="22" t="n">
        <f aca="false">Assumptions!C$29</f>
        <v>18</v>
      </c>
      <c r="D19" s="22" t="n">
        <f aca="false">Assumptions!D$29</f>
        <v>14</v>
      </c>
    </row>
    <row r="20" customFormat="false" ht="15" hidden="false" customHeight="false" outlineLevel="0" collapsed="false">
      <c r="A20" s="4" t="s">
        <v>75</v>
      </c>
      <c r="B20" s="13" t="n">
        <f aca="false">B18*B19</f>
        <v>147.004352816375</v>
      </c>
      <c r="C20" s="13" t="n">
        <f aca="false">C18*C19</f>
        <v>57.9072330347078</v>
      </c>
      <c r="D20" s="13" t="n">
        <f aca="false">D18*D19</f>
        <v>30.9112413724908</v>
      </c>
    </row>
    <row r="22" customFormat="false" ht="15" hidden="false" customHeight="false" outlineLevel="0" collapsed="false">
      <c r="A22" s="21" t="s">
        <v>76</v>
      </c>
      <c r="B22" s="24" t="n">
        <f aca="false">Assumptions!$B$5</f>
        <v>113.9</v>
      </c>
      <c r="C22" s="24" t="n">
        <f aca="false">Assumptions!$B$5</f>
        <v>113.9</v>
      </c>
      <c r="D22" s="24" t="n">
        <f aca="false">Assumptions!$B$5</f>
        <v>113.9</v>
      </c>
    </row>
    <row r="23" customFormat="false" ht="15" hidden="false" customHeight="false" outlineLevel="0" collapsed="false">
      <c r="A23" s="4" t="s">
        <v>77</v>
      </c>
      <c r="B23" s="12" t="n">
        <f aca="false">B20/B22-1</f>
        <v>0.290644010679323</v>
      </c>
      <c r="C23" s="12" t="n">
        <f aca="false">C20/C22-1</f>
        <v>-0.491595846929695</v>
      </c>
      <c r="D23" s="12" t="n">
        <f aca="false">D20/D22-1</f>
        <v>-0.728610699100168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7" min="2" style="0" width="14"/>
  </cols>
  <sheetData>
    <row r="1" customFormat="false" ht="16.15" hidden="false" customHeight="false" outlineLevel="0" collapsed="false">
      <c r="A1" s="1" t="s">
        <v>78</v>
      </c>
    </row>
    <row r="2" customFormat="false" ht="15" hidden="false" customHeight="false" outlineLevel="0" collapsed="false">
      <c r="A2" s="2" t="s">
        <v>79</v>
      </c>
    </row>
    <row r="4" customFormat="false" ht="15" hidden="false" customHeight="false" outlineLevel="0" collapsed="false">
      <c r="A4" s="18"/>
      <c r="B4" s="19" t="s">
        <v>51</v>
      </c>
      <c r="C4" s="19" t="s">
        <v>52</v>
      </c>
    </row>
    <row r="5" customFormat="false" ht="15" hidden="false" customHeight="false" outlineLevel="0" collapsed="false">
      <c r="A5" s="21" t="s">
        <v>80</v>
      </c>
      <c r="B5" s="25" t="n">
        <f aca="false">Assumptions!$B$11</f>
        <v>5.27399044641703</v>
      </c>
      <c r="C5" s="25" t="n">
        <f aca="false">Assumptions!$B$11</f>
        <v>5.27399044641703</v>
      </c>
    </row>
    <row r="6" customFormat="false" ht="15" hidden="false" customHeight="false" outlineLevel="0" collapsed="false">
      <c r="A6" s="21" t="s">
        <v>81</v>
      </c>
      <c r="B6" s="25" t="n">
        <f aca="false">'Scenario Model'!C18</f>
        <v>3.21706850192821</v>
      </c>
      <c r="C6" s="25" t="n">
        <f aca="false">'Scenario Model'!D18</f>
        <v>2.20794581232077</v>
      </c>
    </row>
    <row r="7" customFormat="false" ht="15" hidden="false" customHeight="false" outlineLevel="0" collapsed="false">
      <c r="A7" s="21" t="s">
        <v>82</v>
      </c>
      <c r="B7" s="26" t="n">
        <f aca="false">Assumptions!$B$12</f>
        <v>21.5965503080082</v>
      </c>
      <c r="C7" s="26" t="n">
        <f aca="false">Assumptions!$B$12</f>
        <v>21.5965503080082</v>
      </c>
    </row>
    <row r="8" customFormat="false" ht="15" hidden="false" customHeight="false" outlineLevel="0" collapsed="false">
      <c r="A8" s="4" t="s">
        <v>83</v>
      </c>
      <c r="B8" s="13" t="n">
        <f aca="false">B6*B7</f>
        <v>69.4775817462012</v>
      </c>
      <c r="C8" s="13" t="n">
        <f aca="false">C6*C7</f>
        <v>47.6840128131417</v>
      </c>
    </row>
    <row r="9" customFormat="false" ht="15" hidden="false" customHeight="false" outlineLevel="0" collapsed="false">
      <c r="A9" s="21" t="s">
        <v>84</v>
      </c>
      <c r="B9" s="27" t="n">
        <f aca="false">B8/Assumptions!$B$5-1</f>
        <v>-0.39001245174538</v>
      </c>
      <c r="C9" s="27" t="n">
        <f aca="false">C8/Assumptions!$B$5-1</f>
        <v>-0.581351950718686</v>
      </c>
    </row>
    <row r="10" customFormat="false" ht="15" hidden="false" customHeight="false" outlineLevel="0" collapsed="false">
      <c r="A10" s="21" t="s">
        <v>85</v>
      </c>
      <c r="B10" s="26" t="n">
        <f aca="false">'Scenario Model'!C19</f>
        <v>18</v>
      </c>
      <c r="C10" s="26" t="n">
        <f aca="false">'Scenario Model'!D19</f>
        <v>14</v>
      </c>
    </row>
    <row r="11" customFormat="false" ht="15" hidden="false" customHeight="false" outlineLevel="0" collapsed="false">
      <c r="A11" s="4" t="s">
        <v>86</v>
      </c>
      <c r="B11" s="13" t="n">
        <f aca="false">B6*B10</f>
        <v>57.9072330347078</v>
      </c>
      <c r="C11" s="13" t="n">
        <f aca="false">C6*C10</f>
        <v>30.9112413724908</v>
      </c>
    </row>
    <row r="12" customFormat="false" ht="15" hidden="false" customHeight="false" outlineLevel="0" collapsed="false">
      <c r="A12" s="21" t="s">
        <v>87</v>
      </c>
      <c r="B12" s="27" t="n">
        <f aca="false">B11/B8-1</f>
        <v>-0.166533555438925</v>
      </c>
      <c r="C12" s="27" t="n">
        <f aca="false">C11/C8-1</f>
        <v>-0.351748320896941</v>
      </c>
    </row>
    <row r="13" customFormat="false" ht="15" hidden="false" customHeight="false" outlineLevel="0" collapsed="false">
      <c r="A13" s="4" t="s">
        <v>88</v>
      </c>
      <c r="B13" s="28" t="n">
        <f aca="false">B11/Assumptions!$B$5-1</f>
        <v>-0.491595846929695</v>
      </c>
      <c r="C13" s="28" t="n">
        <f aca="false">C11/Assumptions!$B$5-1</f>
        <v>-0.728610699100168</v>
      </c>
    </row>
    <row r="16" customFormat="false" ht="15" hidden="false" customHeight="false" outlineLevel="0" collapsed="false">
      <c r="A16" s="4" t="s">
        <v>89</v>
      </c>
    </row>
    <row r="17" customFormat="false" ht="90" hidden="false" customHeight="true" outlineLevel="0" collapsed="false">
      <c r="A17" s="29" t="s">
        <v>90</v>
      </c>
      <c r="B17" s="29"/>
      <c r="C17" s="29"/>
      <c r="D17" s="29"/>
    </row>
  </sheetData>
  <mergeCells count="1">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2"/>
  </cols>
  <sheetData>
    <row r="1" customFormat="false" ht="16.15" hidden="false" customHeight="false" outlineLevel="0" collapsed="false">
      <c r="A1" s="1" t="s">
        <v>91</v>
      </c>
    </row>
    <row r="2" customFormat="false" ht="30" hidden="false" customHeight="true" outlineLevel="0" collapsed="false">
      <c r="A2" s="30" t="s">
        <v>92</v>
      </c>
      <c r="B2" s="30"/>
      <c r="C2" s="30"/>
      <c r="D2" s="30"/>
      <c r="E2" s="30"/>
      <c r="F2" s="30"/>
      <c r="G2" s="30"/>
      <c r="H2" s="30"/>
    </row>
    <row r="5" customFormat="false" ht="15" hidden="false" customHeight="false" outlineLevel="0" collapsed="false">
      <c r="B5" s="31" t="s">
        <v>93</v>
      </c>
      <c r="C5" s="31" t="s">
        <v>94</v>
      </c>
      <c r="D5" s="31" t="s">
        <v>95</v>
      </c>
      <c r="E5" s="31" t="s">
        <v>96</v>
      </c>
      <c r="F5" s="31" t="s">
        <v>97</v>
      </c>
      <c r="G5" s="31" t="s">
        <v>98</v>
      </c>
      <c r="H5" s="31" t="s">
        <v>99</v>
      </c>
    </row>
    <row r="6" customFormat="false" ht="15" hidden="false" customHeight="false" outlineLevel="0" collapsed="false">
      <c r="B6" s="6" t="s">
        <v>100</v>
      </c>
      <c r="C6" s="32" t="n">
        <f aca="false">(((((Assumptions!$B$21*0.85)*(Assumptions!$B$16*(1+0)))*0.72)/Assumptions!$B$7)*18)</f>
        <v>115.137188490062</v>
      </c>
      <c r="D6" s="32" t="n">
        <f aca="false">(((((Assumptions!$B$21*0.85)*(Assumptions!$B$16*(1+-0.1)))*0.72)/Assumptions!$B$7)*18)</f>
        <v>103.623469641056</v>
      </c>
      <c r="E6" s="32" t="n">
        <f aca="false">(((((Assumptions!$B$21*0.85)*(Assumptions!$B$16*(1+-0.2)))*0.72)/Assumptions!$B$7)*18)</f>
        <v>92.1097507920498</v>
      </c>
      <c r="F6" s="32" t="n">
        <f aca="false">(((((Assumptions!$B$21*0.85)*(Assumptions!$B$16*(1+-0.25)))*0.72)/Assumptions!$B$7)*18)</f>
        <v>86.3528913675467</v>
      </c>
      <c r="G6" s="32" t="n">
        <f aca="false">(((((Assumptions!$B$21*0.85)*(Assumptions!$B$16*(1+-0.3)))*0.72)/Assumptions!$B$7)*18)</f>
        <v>80.5960319430436</v>
      </c>
      <c r="H6" s="32" t="n">
        <f aca="false">(((((Assumptions!$B$21*0.85)*(Assumptions!$B$16*(1+-0.4)))*0.72)/Assumptions!$B$7)*18)</f>
        <v>69.0823130940374</v>
      </c>
    </row>
    <row r="7" customFormat="false" ht="15" hidden="false" customHeight="false" outlineLevel="0" collapsed="false">
      <c r="B7" s="6" t="s">
        <v>101</v>
      </c>
      <c r="C7" s="32" t="n">
        <f aca="false">(((((Assumptions!$B$21*0.75)*(Assumptions!$B$16*(1+0)))*0.72)/Assumptions!$B$7)*18)</f>
        <v>101.591636902996</v>
      </c>
      <c r="D7" s="32" t="n">
        <f aca="false">(((((Assumptions!$B$21*0.75)*(Assumptions!$B$16*(1+-0.1)))*0.72)/Assumptions!$B$7)*18)</f>
        <v>91.4324732126965</v>
      </c>
      <c r="E7" s="32" t="n">
        <f aca="false">(((((Assumptions!$B$21*0.75)*(Assumptions!$B$16*(1+-0.2)))*0.72)/Assumptions!$B$7)*18)</f>
        <v>81.2733095223969</v>
      </c>
      <c r="F7" s="32" t="n">
        <f aca="false">(((((Assumptions!$B$21*0.75)*(Assumptions!$B$16*(1+-0.25)))*0.72)/Assumptions!$B$7)*18)</f>
        <v>76.1937276772471</v>
      </c>
      <c r="G7" s="32" t="n">
        <f aca="false">(((((Assumptions!$B$21*0.75)*(Assumptions!$B$16*(1+-0.3)))*0.72)/Assumptions!$B$7)*18)</f>
        <v>71.1141458320973</v>
      </c>
      <c r="H7" s="32" t="n">
        <f aca="false">(((((Assumptions!$B$21*0.75)*(Assumptions!$B$16*(1+-0.4)))*0.72)/Assumptions!$B$7)*18)</f>
        <v>60.9549821417977</v>
      </c>
    </row>
    <row r="8" customFormat="false" ht="15" hidden="false" customHeight="false" outlineLevel="0" collapsed="false">
      <c r="B8" s="6" t="s">
        <v>102</v>
      </c>
      <c r="C8" s="32" t="n">
        <f aca="false">(((((Assumptions!$B$21*0.65)*(Assumptions!$B$16*(1+0)))*0.72)/Assumptions!$B$7)*18)</f>
        <v>88.04608531593</v>
      </c>
      <c r="D8" s="32" t="n">
        <f aca="false">(((((Assumptions!$B$21*0.65)*(Assumptions!$B$16*(1+-0.1)))*0.72)/Assumptions!$B$7)*18)</f>
        <v>79.241476784337</v>
      </c>
      <c r="E8" s="32" t="n">
        <f aca="false">(((((Assumptions!$B$21*0.65)*(Assumptions!$B$16*(1+-0.2)))*0.72)/Assumptions!$B$7)*18)</f>
        <v>70.436868252744</v>
      </c>
      <c r="F8" s="32" t="n">
        <f aca="false">(((((Assumptions!$B$21*0.65)*(Assumptions!$B$16*(1+-0.25)))*0.72)/Assumptions!$B$7)*18)</f>
        <v>66.0345639869475</v>
      </c>
      <c r="G8" s="32" t="n">
        <f aca="false">(((((Assumptions!$B$21*0.65)*(Assumptions!$B$16*(1+-0.3)))*0.72)/Assumptions!$B$7)*18)</f>
        <v>61.632259721151</v>
      </c>
      <c r="H8" s="32" t="n">
        <f aca="false">(((((Assumptions!$B$21*0.65)*(Assumptions!$B$16*(1+-0.4)))*0.72)/Assumptions!$B$7)*18)</f>
        <v>52.827651189558</v>
      </c>
    </row>
    <row r="9" customFormat="false" ht="15" hidden="false" customHeight="false" outlineLevel="0" collapsed="false">
      <c r="B9" s="6" t="s">
        <v>103</v>
      </c>
      <c r="C9" s="32" t="n">
        <f aca="false">(((((Assumptions!$B$21*0.57)*(Assumptions!$B$16*(1+0)))*0.72)/Assumptions!$B$7)*18)</f>
        <v>77.209644046277</v>
      </c>
      <c r="D9" s="32" t="n">
        <f aca="false">(((((Assumptions!$B$21*0.57)*(Assumptions!$B$16*(1+-0.1)))*0.72)/Assumptions!$B$7)*18)</f>
        <v>69.4886796416493</v>
      </c>
      <c r="E9" s="32" t="n">
        <f aca="false">(((((Assumptions!$B$21*0.57)*(Assumptions!$B$16*(1+-0.2)))*0.72)/Assumptions!$B$7)*18)</f>
        <v>61.7677152370217</v>
      </c>
      <c r="F9" s="32" t="n">
        <f aca="false">(((((Assumptions!$B$21*0.57)*(Assumptions!$B$16*(1+-0.25)))*0.72)/Assumptions!$B$7)*18)</f>
        <v>57.9072330347078</v>
      </c>
      <c r="G9" s="32" t="n">
        <f aca="false">(((((Assumptions!$B$21*0.57)*(Assumptions!$B$16*(1+-0.3)))*0.72)/Assumptions!$B$7)*18)</f>
        <v>54.0467508323939</v>
      </c>
      <c r="H9" s="32" t="n">
        <f aca="false">(((((Assumptions!$B$21*0.57)*(Assumptions!$B$16*(1+-0.4)))*0.72)/Assumptions!$B$7)*18)</f>
        <v>46.3257864277662</v>
      </c>
    </row>
    <row r="10" customFormat="false" ht="15" hidden="false" customHeight="false" outlineLevel="0" collapsed="false">
      <c r="B10" s="6" t="s">
        <v>104</v>
      </c>
      <c r="C10" s="32" t="n">
        <f aca="false">(((((Assumptions!$B$21*0.5)*(Assumptions!$B$16*(1+0)))*0.72)/Assumptions!$B$7)*18)</f>
        <v>67.7277579353307</v>
      </c>
      <c r="D10" s="32" t="n">
        <f aca="false">(((((Assumptions!$B$21*0.5)*(Assumptions!$B$16*(1+-0.1)))*0.72)/Assumptions!$B$7)*18)</f>
        <v>60.9549821417977</v>
      </c>
      <c r="E10" s="32" t="n">
        <f aca="false">(((((Assumptions!$B$21*0.5)*(Assumptions!$B$16*(1+-0.2)))*0.72)/Assumptions!$B$7)*18)</f>
        <v>54.1822063482646</v>
      </c>
      <c r="F10" s="32" t="n">
        <f aca="false">(((((Assumptions!$B$21*0.5)*(Assumptions!$B$16*(1+-0.25)))*0.72)/Assumptions!$B$7)*18)</f>
        <v>50.7958184514981</v>
      </c>
      <c r="G10" s="32" t="n">
        <f aca="false">(((((Assumptions!$B$21*0.5)*(Assumptions!$B$16*(1+-0.3)))*0.72)/Assumptions!$B$7)*18)</f>
        <v>47.4094305547315</v>
      </c>
      <c r="H10" s="32" t="n">
        <f aca="false">(((((Assumptions!$B$21*0.5)*(Assumptions!$B$16*(1+-0.4)))*0.72)/Assumptions!$B$7)*18)</f>
        <v>40.6366547611985</v>
      </c>
    </row>
    <row r="11" customFormat="false" ht="15" hidden="false" customHeight="false" outlineLevel="0" collapsed="false">
      <c r="B11" s="6" t="s">
        <v>105</v>
      </c>
      <c r="C11" s="32" t="n">
        <f aca="false">(((((Assumptions!$B$21*0.4)*(Assumptions!$B$16*(1+0)))*0.72)/Assumptions!$B$7)*18)</f>
        <v>54.1822063482646</v>
      </c>
      <c r="D11" s="32" t="n">
        <f aca="false">(((((Assumptions!$B$21*0.4)*(Assumptions!$B$16*(1+-0.1)))*0.72)/Assumptions!$B$7)*18)</f>
        <v>48.7639857134381</v>
      </c>
      <c r="E11" s="32" t="n">
        <f aca="false">(((((Assumptions!$B$21*0.4)*(Assumptions!$B$16*(1+-0.2)))*0.72)/Assumptions!$B$7)*18)</f>
        <v>43.3457650786117</v>
      </c>
      <c r="F11" s="32" t="n">
        <f aca="false">(((((Assumptions!$B$21*0.4)*(Assumptions!$B$16*(1+-0.25)))*0.72)/Assumptions!$B$7)*18)</f>
        <v>40.6366547611985</v>
      </c>
      <c r="G11" s="32" t="n">
        <f aca="false">(((((Assumptions!$B$21*0.4)*(Assumptions!$B$16*(1+-0.3)))*0.72)/Assumptions!$B$7)*18)</f>
        <v>37.9275444437852</v>
      </c>
      <c r="H11" s="32" t="n">
        <f aca="false">(((((Assumptions!$B$21*0.4)*(Assumptions!$B$16*(1+-0.4)))*0.72)/Assumptions!$B$7)*18)</f>
        <v>32.5093238089588</v>
      </c>
    </row>
    <row r="14" customFormat="false" ht="15" hidden="false" customHeight="false" outlineLevel="0" collapsed="false">
      <c r="A14" s="4" t="s">
        <v>106</v>
      </c>
      <c r="B14" s="25" t="n">
        <f aca="false">Assumptions!$B$5</f>
        <v>113.9</v>
      </c>
    </row>
    <row r="15" customFormat="false" ht="15" hidden="false" customHeight="false" outlineLevel="0" collapsed="false">
      <c r="A15" s="4" t="s">
        <v>107</v>
      </c>
    </row>
    <row r="16" customFormat="false" ht="39.75" hidden="false" customHeight="true" outlineLevel="0" collapsed="false">
      <c r="A16" s="30" t="s">
        <v>108</v>
      </c>
      <c r="B16" s="30"/>
      <c r="C16" s="30"/>
      <c r="D16" s="30"/>
      <c r="E16" s="30"/>
      <c r="F16" s="30"/>
      <c r="G16" s="30"/>
      <c r="H16" s="30"/>
    </row>
  </sheetData>
  <mergeCells count="2">
    <mergeCell ref="A2:H2"/>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70"/>
    <col collapsed="false" customWidth="true" hidden="false" outlineLevel="0" max="7" min="4" style="0" width="20"/>
  </cols>
  <sheetData>
    <row r="1" customFormat="false" ht="16.15" hidden="false" customHeight="false" outlineLevel="0" collapsed="false">
      <c r="A1" s="1" t="s">
        <v>109</v>
      </c>
    </row>
    <row r="2" customFormat="false" ht="15" hidden="false" customHeight="false" outlineLevel="0" collapsed="false">
      <c r="A2" s="2" t="s">
        <v>110</v>
      </c>
    </row>
    <row r="4" customFormat="false" ht="15" hidden="false" customHeight="false" outlineLevel="0" collapsed="false">
      <c r="A4" s="18" t="s">
        <v>111</v>
      </c>
      <c r="B4" s="18" t="s">
        <v>112</v>
      </c>
      <c r="C4" s="18" t="s">
        <v>113</v>
      </c>
    </row>
    <row r="5" customFormat="false" ht="33.75" hidden="false" customHeight="true" outlineLevel="0" collapsed="false">
      <c r="A5" s="21" t="s">
        <v>114</v>
      </c>
      <c r="B5" s="21" t="s">
        <v>115</v>
      </c>
      <c r="C5" s="5" t="s">
        <v>116</v>
      </c>
    </row>
    <row r="6" customFormat="false" ht="33.75" hidden="false" customHeight="true" outlineLevel="0" collapsed="false">
      <c r="A6" s="21" t="s">
        <v>117</v>
      </c>
      <c r="B6" s="21" t="s">
        <v>118</v>
      </c>
      <c r="C6" s="5" t="s">
        <v>119</v>
      </c>
    </row>
    <row r="7" customFormat="false" ht="33.75" hidden="false" customHeight="true" outlineLevel="0" collapsed="false">
      <c r="A7" s="21" t="s">
        <v>120</v>
      </c>
      <c r="B7" s="21" t="s">
        <v>121</v>
      </c>
      <c r="C7" s="5" t="s">
        <v>122</v>
      </c>
    </row>
    <row r="8" customFormat="false" ht="33.75" hidden="false" customHeight="true" outlineLevel="0" collapsed="false">
      <c r="A8" s="21" t="s">
        <v>123</v>
      </c>
      <c r="B8" s="21" t="s">
        <v>124</v>
      </c>
      <c r="C8" s="5" t="s">
        <v>125</v>
      </c>
    </row>
    <row r="9" customFormat="false" ht="33.75" hidden="false" customHeight="true" outlineLevel="0" collapsed="false">
      <c r="A9" s="21" t="s">
        <v>126</v>
      </c>
      <c r="B9" s="21" t="s">
        <v>127</v>
      </c>
      <c r="C9" s="5" t="s">
        <v>128</v>
      </c>
    </row>
    <row r="10" customFormat="false" ht="33.75" hidden="false" customHeight="true" outlineLevel="0" collapsed="false">
      <c r="A10" s="21" t="s">
        <v>129</v>
      </c>
      <c r="B10" s="21" t="s">
        <v>130</v>
      </c>
      <c r="C10" s="5"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4"/>
  </cols>
  <sheetData>
    <row r="1" customFormat="false" ht="16.15" hidden="false" customHeight="false" outlineLevel="0" collapsed="false">
      <c r="A1" s="1" t="s">
        <v>132</v>
      </c>
    </row>
    <row r="2" customFormat="false" ht="39.75" hidden="false" customHeight="true" outlineLevel="0" collapsed="false">
      <c r="A2" s="30" t="s">
        <v>133</v>
      </c>
      <c r="B2" s="30"/>
      <c r="C2" s="30"/>
      <c r="D2" s="30"/>
      <c r="E2" s="30"/>
      <c r="F2" s="30"/>
    </row>
    <row r="4" customFormat="false" ht="15" hidden="false" customHeight="false" outlineLevel="0" collapsed="false">
      <c r="A4" s="18" t="s">
        <v>134</v>
      </c>
      <c r="B4" s="18" t="s">
        <v>135</v>
      </c>
      <c r="C4" s="19" t="s">
        <v>136</v>
      </c>
      <c r="D4" s="18" t="s">
        <v>137</v>
      </c>
    </row>
    <row r="5" customFormat="false" ht="31.5" hidden="false" customHeight="true" outlineLevel="0" collapsed="false">
      <c r="A5" s="21" t="s">
        <v>138</v>
      </c>
      <c r="B5" s="5" t="s">
        <v>139</v>
      </c>
      <c r="C5" s="33" t="n">
        <v>56.6</v>
      </c>
      <c r="D5" s="9" t="s">
        <v>140</v>
      </c>
    </row>
    <row r="6" customFormat="false" ht="31.5" hidden="false" customHeight="true" outlineLevel="0" collapsed="false">
      <c r="A6" s="21" t="s">
        <v>141</v>
      </c>
      <c r="B6" s="5" t="s">
        <v>142</v>
      </c>
      <c r="C6" s="33" t="n">
        <v>60.5</v>
      </c>
      <c r="D6" s="9" t="s">
        <v>143</v>
      </c>
    </row>
    <row r="7" customFormat="false" ht="31.5" hidden="false" customHeight="true" outlineLevel="0" collapsed="false">
      <c r="A7" s="21" t="s">
        <v>144</v>
      </c>
      <c r="B7" s="5" t="s">
        <v>145</v>
      </c>
      <c r="C7" s="33" t="n">
        <v>36.1</v>
      </c>
      <c r="D7" s="9" t="s">
        <v>146</v>
      </c>
    </row>
    <row r="9" customFormat="false" ht="15" hidden="false" customHeight="false" outlineLevel="0" collapsed="false">
      <c r="A9" s="4" t="s">
        <v>147</v>
      </c>
      <c r="C9" s="14" t="n">
        <f aca="false">MEDIAN(C5:C7)</f>
        <v>56.6</v>
      </c>
    </row>
    <row r="11" customFormat="false" ht="15" hidden="false" customHeight="false" outlineLevel="0" collapsed="false">
      <c r="A11" s="4" t="s">
        <v>148</v>
      </c>
      <c r="C11" s="14" t="n">
        <f aca="false">Assumptions!B5/Assumptions!B11</f>
        <v>21.5965503080082</v>
      </c>
    </row>
    <row r="13" customFormat="false" ht="15" hidden="false" customHeight="false" outlineLevel="0" collapsed="false">
      <c r="A13" s="4" t="s">
        <v>149</v>
      </c>
      <c r="C13" s="28" t="n">
        <f aca="false">1-C11/C9</f>
        <v>0.61843550692565</v>
      </c>
    </row>
    <row r="16" customFormat="false" ht="15" hidden="false" customHeight="false" outlineLevel="0" collapsed="false">
      <c r="A16" s="4" t="s">
        <v>150</v>
      </c>
    </row>
    <row r="17" customFormat="false" ht="129.75" hidden="false" customHeight="true" outlineLevel="0" collapsed="false">
      <c r="A17" s="29" t="s">
        <v>151</v>
      </c>
      <c r="B17" s="29"/>
      <c r="C17" s="29"/>
      <c r="D17" s="29"/>
      <c r="E17" s="29"/>
      <c r="F17" s="29"/>
    </row>
  </sheetData>
  <mergeCells count="2">
    <mergeCell ref="A2:F2"/>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2026-09-13T14:01:26Z</dcterms:created>
  <dc:creator>openpyxl</dc:creator>
  <dc:description/>
  <dc:language>en-US</dc:language>
  <cp:lastModifiedBy/>
  <dcterms:modified xsi:type="dcterms:W3CDTF">2026-09-13T14:01:26Z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